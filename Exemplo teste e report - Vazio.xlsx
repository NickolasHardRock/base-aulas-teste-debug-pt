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Report" sheetId="2" r:id="rId6"/>
    <sheet state="visible" name="CT" sheetId="3" r:id="rId7"/>
  </sheets>
  <definedNames/>
  <calcPr/>
</workbook>
</file>

<file path=xl/sharedStrings.xml><?xml version="1.0" encoding="utf-8"?>
<sst xmlns="http://schemas.openxmlformats.org/spreadsheetml/2006/main" count="74" uniqueCount="55">
  <si>
    <t>Resumo</t>
  </si>
  <si>
    <t>Bugs encontrados</t>
  </si>
  <si>
    <t>Crítico</t>
  </si>
  <si>
    <t>Alto</t>
  </si>
  <si>
    <t>Médio</t>
  </si>
  <si>
    <t>Baixo</t>
  </si>
  <si>
    <t>Bugs status</t>
  </si>
  <si>
    <t>Aberto</t>
  </si>
  <si>
    <t>Dev</t>
  </si>
  <si>
    <t>Reteste</t>
  </si>
  <si>
    <t>Corrigido</t>
  </si>
  <si>
    <t>Impedimento</t>
  </si>
  <si>
    <t>Fora de Escopo</t>
  </si>
  <si>
    <t>Duplicado</t>
  </si>
  <si>
    <t>Data: 27/03/2024</t>
  </si>
  <si>
    <t>Relatório final testes XPTO</t>
  </si>
  <si>
    <t>Este documento tem como objetivo auxilair na correção dos bugs, o detalhamento e passos deverá ser consultado no CT desta planilha.</t>
  </si>
  <si>
    <t>Nº</t>
  </si>
  <si>
    <t>Titulo</t>
  </si>
  <si>
    <t>CT</t>
  </si>
  <si>
    <t>Risco/Prioridade</t>
  </si>
  <si>
    <t>Descrição</t>
  </si>
  <si>
    <t>Observações</t>
  </si>
  <si>
    <t>Estado</t>
  </si>
  <si>
    <t>Erro ao cadastrar usuario normal</t>
  </si>
  <si>
    <t>A mensagem retornada é de sucesso, porém não traz o status 201 e sim o 200.</t>
  </si>
  <si>
    <t>Não há necessidade de ajuste, apenas padronização</t>
  </si>
  <si>
    <t>Erro ao cadastrar usuario com email inválido</t>
  </si>
  <si>
    <t>O sistema realiza o cadastro de um usuário com um email inválido (sem @). 
Deverá ser revalidado a função de Create da pessoa, para validar o email.</t>
  </si>
  <si>
    <t>Não deverá ser liberado sem esta correção</t>
  </si>
  <si>
    <t>Após a correção ele valida apenas emails com @, mas não confere .com por exemplo</t>
  </si>
  <si>
    <t>Cadastrou o usuário com o email errado.</t>
  </si>
  <si>
    <t>Aparecer mensagem de erro 500 (internal server error)</t>
  </si>
  <si>
    <t xml:space="preserve">mensagem: [] Server status: 201
</t>
  </si>
  <si>
    <t>Mensagem de erro endereço não encontrado</t>
  </si>
  <si>
    <t>Cadastra pessoa (no primeiro ID disponível) com mesmos dados de outra que já está cadastrada</t>
  </si>
  <si>
    <t>Autor: Renan Ponick</t>
  </si>
  <si>
    <t>Casos de teste para XPTO</t>
  </si>
  <si>
    <t xml:space="preserve">Links:  </t>
  </si>
  <si>
    <t>Obj: Realizar os testes referentes ao cadastro, leitura, alteração e exclusão de uma pessoa no sistema XYZ, conforme requisitos ABC.</t>
  </si>
  <si>
    <t>Obs: Este caso só será implantado para cliente X, os demais não deverão ver a funcionalidade.</t>
  </si>
  <si>
    <t>Rotina (O que)</t>
  </si>
  <si>
    <t>Execução</t>
  </si>
  <si>
    <t>#</t>
  </si>
  <si>
    <t>Passo/Combinações</t>
  </si>
  <si>
    <t>Resultado Esperado</t>
  </si>
  <si>
    <t>Executado</t>
  </si>
  <si>
    <t>Pessoa</t>
  </si>
  <si>
    <t>Cadastro</t>
  </si>
  <si>
    <t>Cadastrar uma pessoa nova, informando o email, nome e senha corretamente.</t>
  </si>
  <si>
    <t>Cadastrar a pesosa no banco e informar ao usuário o sucesso</t>
  </si>
  <si>
    <t>Cadastrar uma pessoa nova, informando o nome e senha corretos, porém o email deverá ser inválido (sem o @).</t>
  </si>
  <si>
    <t>Deverá informar um erro dizendo que não é possível cadastrar um email inválido.</t>
  </si>
  <si>
    <t>Cadastrar uma pessoa nova, informando o nome e senha corretos, porém o email deverá ser inexistente (" ").</t>
  </si>
  <si>
    <t>Leitura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</si>
</sst>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24.0"/>
      <color rgb="FFF3F3F3"/>
      <name val="Cambria"/>
    </font>
    <font>
      <sz val="14.0"/>
      <color rgb="FFF3F3F3"/>
      <name val="Cambria"/>
    </font>
    <font>
      <color theme="1"/>
      <name val="Arial"/>
    </font>
    <font>
      <color rgb="FF000000"/>
      <name val="Arial"/>
    </font>
    <font>
      <sz val="12.0"/>
      <color rgb="FFFFFFFF"/>
      <name val="Calibri"/>
    </font>
    <font>
      <b/>
      <sz val="11.0"/>
      <color rgb="FFFFFFFF"/>
      <name val="Calibri"/>
    </font>
    <font>
      <sz val="10.0"/>
      <color theme="1"/>
      <name val="Arial"/>
    </font>
    <font>
      <sz val="10.0"/>
      <color rgb="FF444746"/>
      <name val="Arial"/>
    </font>
    <font>
      <sz val="10.0"/>
      <color rgb="FF000000"/>
      <name val="Arial"/>
    </font>
    <font>
      <sz val="12.0"/>
      <color rgb="FFFFFFFF"/>
      <name val="Cambria"/>
    </font>
    <font>
      <sz val="11.0"/>
      <color rgb="FFFFFFFF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1"/>
    </xf>
    <xf borderId="0" fillId="3" fontId="3" numFmtId="3" xfId="0" applyAlignment="1" applyFill="1" applyFont="1" applyNumberFormat="1">
      <alignment horizontal="center" readingOrder="0" shrinkToFit="0" vertical="center" wrapText="1"/>
    </xf>
    <xf borderId="0" fillId="3" fontId="3" numFmtId="4" xfId="0" applyAlignment="1" applyFont="1" applyNumberFormat="1">
      <alignment horizontal="left" readingOrder="0" shrinkToFit="0" vertical="center" wrapText="1"/>
    </xf>
    <xf borderId="0" fillId="3" fontId="3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bottom" wrapText="1"/>
    </xf>
    <xf borderId="1" fillId="0" fontId="3" numFmtId="1" xfId="0" applyAlignment="1" applyBorder="1" applyFont="1" applyNumberFormat="1">
      <alignment horizontal="center" readingOrder="0" shrinkToFit="0" vertical="center" wrapText="1"/>
    </xf>
    <xf borderId="0" fillId="3" fontId="4" numFmtId="4" xfId="0" applyAlignment="1" applyFont="1" applyNumberFormat="1">
      <alignment horizontal="left" readingOrder="0"/>
    </xf>
    <xf borderId="0" fillId="3" fontId="3" numFmtId="1" xfId="0" applyAlignment="1" applyFont="1" applyNumberFormat="1">
      <alignment horizontal="center" readingOrder="0" shrinkToFit="0" vertical="center" wrapText="1"/>
    </xf>
    <xf borderId="0" fillId="3" fontId="3" numFmtId="4" xfId="0" applyAlignment="1" applyFont="1" applyNumberFormat="1">
      <alignment readingOrder="0" shrinkToFit="0" wrapText="1"/>
    </xf>
    <xf borderId="0" fillId="3" fontId="3" numFmtId="4" xfId="0" applyAlignment="1" applyFont="1" applyNumberFormat="1">
      <alignment shrinkToFit="0" wrapText="1"/>
    </xf>
    <xf borderId="1" fillId="3" fontId="3" numFmtId="1" xfId="0" applyAlignment="1" applyBorder="1" applyFont="1" applyNumberFormat="1">
      <alignment horizontal="center" readingOrder="0" shrinkToFit="0" vertical="center" wrapText="1"/>
    </xf>
    <xf borderId="0" fillId="4" fontId="5" numFmtId="0" xfId="0" applyAlignment="1" applyFill="1" applyFont="1">
      <alignment readingOrder="0" vertical="bottom"/>
    </xf>
    <xf borderId="0" fillId="5" fontId="2" numFmtId="0" xfId="0" applyAlignment="1" applyFill="1" applyFont="1">
      <alignment horizontal="center" readingOrder="0" shrinkToFit="0" vertical="bottom" wrapText="1"/>
    </xf>
    <xf borderId="1" fillId="6" fontId="6" numFmtId="0" xfId="0" applyAlignment="1" applyBorder="1" applyFill="1" applyFont="1">
      <alignment horizontal="center" readingOrder="0" vertical="bottom"/>
    </xf>
    <xf borderId="1" fillId="3" fontId="7" numFmtId="3" xfId="0" applyAlignment="1" applyBorder="1" applyFont="1" applyNumberFormat="1">
      <alignment horizontal="center" readingOrder="0" shrinkToFit="0" vertical="center" wrapText="1"/>
    </xf>
    <xf borderId="1" fillId="3" fontId="7" numFmtId="1" xfId="0" applyAlignment="1" applyBorder="1" applyFont="1" applyNumberFormat="1">
      <alignment horizontal="center" readingOrder="0" shrinkToFit="0" vertical="center" wrapText="1"/>
    </xf>
    <xf borderId="1" fillId="3" fontId="7" numFmtId="4" xfId="0" applyAlignment="1" applyBorder="1" applyFont="1" applyNumberFormat="1">
      <alignment horizontal="left" readingOrder="0" shrinkToFit="0" vertical="center" wrapText="1"/>
    </xf>
    <xf borderId="1" fillId="3" fontId="7" numFmtId="0" xfId="0" applyAlignment="1" applyBorder="1" applyFont="1">
      <alignment horizontal="center" readingOrder="0" vertical="center"/>
    </xf>
    <xf borderId="1" fillId="3" fontId="8" numFmtId="4" xfId="0" applyAlignment="1" applyBorder="1" applyFont="1" applyNumberFormat="1">
      <alignment horizontal="left" readingOrder="0"/>
    </xf>
    <xf borderId="1" fillId="3" fontId="9" numFmtId="1" xfId="0" applyAlignment="1" applyBorder="1" applyFont="1" applyNumberFormat="1">
      <alignment horizontal="left" readingOrder="0"/>
    </xf>
    <xf borderId="1" fillId="3" fontId="9" numFmtId="4" xfId="0" applyAlignment="1" applyBorder="1" applyFont="1" applyNumberFormat="1">
      <alignment horizontal="left" readingOrder="0"/>
    </xf>
    <xf borderId="1" fillId="3" fontId="3" numFmtId="3" xfId="0" applyAlignment="1" applyBorder="1" applyFont="1" applyNumberFormat="1">
      <alignment horizontal="center" readingOrder="0" shrinkToFit="0" vertical="center" wrapText="1"/>
    </xf>
    <xf borderId="1" fillId="3" fontId="3" numFmtId="4" xfId="0" applyAlignment="1" applyBorder="1" applyFont="1" applyNumberFormat="1">
      <alignment horizontal="left"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4" xfId="0" applyAlignment="1" applyBorder="1" applyFont="1" applyNumberFormat="1">
      <alignment readingOrder="0" shrinkToFit="0" wrapText="1"/>
    </xf>
    <xf borderId="1" fillId="3" fontId="3" numFmtId="4" xfId="0" applyAlignment="1" applyBorder="1" applyFont="1" applyNumberFormat="1">
      <alignment shrinkToFit="0" wrapText="1"/>
    </xf>
    <xf borderId="0" fillId="5" fontId="10" numFmtId="0" xfId="0" applyAlignment="1" applyFont="1">
      <alignment horizontal="left" readingOrder="0" vertical="top"/>
    </xf>
    <xf borderId="0" fillId="6" fontId="11" numFmtId="0" xfId="0" applyAlignment="1" applyFont="1">
      <alignment readingOrder="0" shrinkToFit="0" vertical="bottom" wrapText="1"/>
    </xf>
    <xf borderId="1" fillId="6" fontId="6" numFmtId="0" xfId="0" applyAlignment="1" applyBorder="1" applyFont="1">
      <alignment horizontal="center" vertical="bottom"/>
    </xf>
    <xf borderId="2" fillId="3" fontId="3" numFmtId="4" xfId="0" applyAlignment="1" applyBorder="1" applyFont="1" applyNumberFormat="1">
      <alignment horizontal="center" readingOrder="0" shrinkToFit="0" vertical="center" wrapText="1"/>
    </xf>
    <xf borderId="2" fillId="3" fontId="3" numFmtId="4" xfId="0" applyAlignment="1" applyBorder="1" applyFont="1" applyNumberFormat="1">
      <alignment horizontal="center" readingOrder="0" shrinkToFit="0" vertical="center" wrapText="1"/>
    </xf>
    <xf borderId="3" fillId="0" fontId="12" numFmtId="0" xfId="0" applyBorder="1" applyFont="1"/>
    <xf borderId="4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Resumo!$C$5</c:f>
            </c:strRef>
          </c:tx>
          <c:dPt>
            <c:idx val="0"/>
            <c:spPr>
              <a:solidFill>
                <a:srgbClr val="674EA7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Resumo!$B$6:$B$9</c:f>
            </c:strRef>
          </c:cat>
          <c:val>
            <c:numRef>
              <c:f>Resumo!$C$6:$C$9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Resumo!$C$15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Resumo!$B$16:$B$22</c:f>
            </c:strRef>
          </c:cat>
          <c:val>
            <c:numRef>
              <c:f>Resumo!$C$16:$C$22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1</xdr:row>
      <xdr:rowOff>133350</xdr:rowOff>
    </xdr:from>
    <xdr:ext cx="3533775" cy="21812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714375</xdr:colOff>
      <xdr:row>13</xdr:row>
      <xdr:rowOff>28575</xdr:rowOff>
    </xdr:from>
    <xdr:ext cx="3533775" cy="2181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3.5"/>
    <col customWidth="1" min="3" max="3" width="9.13"/>
    <col customWidth="1" min="4" max="4" width="11.88"/>
    <col customWidth="1" min="5" max="5" width="30.13"/>
    <col customWidth="1" min="6" max="6" width="20.75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2"/>
      <c r="D3" s="2"/>
      <c r="E3" s="2"/>
      <c r="F3" s="2"/>
    </row>
    <row r="4">
      <c r="A4" s="3"/>
      <c r="D4" s="3"/>
      <c r="E4" s="4"/>
      <c r="F4" s="5"/>
    </row>
    <row r="5">
      <c r="A5" s="3"/>
      <c r="B5" s="6" t="s">
        <v>1</v>
      </c>
      <c r="D5" s="3"/>
      <c r="E5" s="4"/>
      <c r="F5" s="5"/>
    </row>
    <row r="6">
      <c r="A6" s="3"/>
      <c r="B6" s="7" t="s">
        <v>2</v>
      </c>
      <c r="C6" s="7">
        <v>5.0</v>
      </c>
      <c r="D6" s="3"/>
      <c r="E6" s="4"/>
      <c r="F6" s="5"/>
    </row>
    <row r="7">
      <c r="A7" s="3"/>
      <c r="B7" s="7" t="s">
        <v>3</v>
      </c>
      <c r="C7" s="7">
        <f>CountIf(Report!$D$4:$D$25, B7)</f>
        <v>0</v>
      </c>
      <c r="D7" s="3"/>
      <c r="E7" s="4"/>
      <c r="F7" s="5"/>
    </row>
    <row r="8">
      <c r="A8" s="3"/>
      <c r="B8" s="7" t="s">
        <v>4</v>
      </c>
      <c r="C8" s="7">
        <v>4.0</v>
      </c>
      <c r="D8" s="3"/>
      <c r="E8" s="8"/>
      <c r="F8" s="5"/>
    </row>
    <row r="9">
      <c r="A9" s="3"/>
      <c r="B9" s="7" t="s">
        <v>5</v>
      </c>
      <c r="C9" s="7">
        <f>CountIf(Report!$D$4:$D$25, B9)</f>
        <v>0</v>
      </c>
      <c r="D9" s="3"/>
      <c r="E9" s="4"/>
      <c r="F9" s="5"/>
    </row>
    <row r="10">
      <c r="A10" s="3"/>
      <c r="B10" s="9"/>
      <c r="C10" s="3"/>
      <c r="D10" s="3"/>
      <c r="E10" s="4"/>
      <c r="F10" s="5"/>
    </row>
    <row r="11">
      <c r="A11" s="3"/>
      <c r="B11" s="9"/>
      <c r="C11" s="3"/>
      <c r="D11" s="3"/>
      <c r="E11" s="10"/>
      <c r="F11" s="5"/>
    </row>
    <row r="12">
      <c r="A12" s="3"/>
      <c r="B12" s="9"/>
      <c r="C12" s="3"/>
      <c r="D12" s="3"/>
      <c r="E12" s="10"/>
      <c r="F12" s="5"/>
    </row>
    <row r="13">
      <c r="A13" s="3"/>
      <c r="B13" s="9"/>
      <c r="C13" s="3"/>
      <c r="D13" s="3"/>
      <c r="E13" s="11"/>
      <c r="F13" s="5"/>
    </row>
    <row r="14">
      <c r="A14" s="3"/>
      <c r="B14" s="9"/>
      <c r="C14" s="3"/>
      <c r="D14" s="3"/>
      <c r="E14" s="11"/>
      <c r="F14" s="5"/>
    </row>
    <row r="15">
      <c r="A15" s="3"/>
      <c r="B15" s="6" t="s">
        <v>6</v>
      </c>
      <c r="D15" s="3"/>
      <c r="E15" s="11"/>
      <c r="F15" s="5"/>
    </row>
    <row r="16">
      <c r="A16" s="3"/>
      <c r="B16" s="7" t="s">
        <v>7</v>
      </c>
      <c r="C16" s="7">
        <v>6.0</v>
      </c>
      <c r="D16" s="3"/>
      <c r="E16" s="11"/>
      <c r="F16" s="5"/>
    </row>
    <row r="17">
      <c r="A17" s="3"/>
      <c r="B17" s="7" t="s">
        <v>8</v>
      </c>
      <c r="C17" s="7">
        <f>COUNTIF(Report!$G$4:$G$25, B17)</f>
        <v>2</v>
      </c>
      <c r="D17" s="3"/>
      <c r="E17" s="4"/>
      <c r="F17" s="5"/>
    </row>
    <row r="18">
      <c r="A18" s="3"/>
      <c r="B18" s="7" t="s">
        <v>9</v>
      </c>
      <c r="C18" s="7">
        <f>COUNTIF(Report!$G$4:$G$25, B18)</f>
        <v>0</v>
      </c>
      <c r="D18" s="3"/>
      <c r="E18" s="4"/>
      <c r="F18" s="5"/>
    </row>
    <row r="19">
      <c r="A19" s="3"/>
      <c r="B19" s="7" t="s">
        <v>10</v>
      </c>
      <c r="C19" s="7">
        <v>14.0</v>
      </c>
      <c r="D19" s="3"/>
      <c r="E19" s="4"/>
      <c r="F19" s="5"/>
    </row>
    <row r="20">
      <c r="A20" s="3"/>
      <c r="B20" s="12" t="s">
        <v>11</v>
      </c>
      <c r="C20" s="7">
        <f>COUNTIF(Report!$G$4:$G$25, B20)</f>
        <v>0</v>
      </c>
      <c r="D20" s="3"/>
      <c r="E20" s="4"/>
      <c r="F20" s="5"/>
    </row>
    <row r="21">
      <c r="A21" s="3"/>
      <c r="B21" s="12" t="s">
        <v>12</v>
      </c>
      <c r="C21" s="7">
        <v>0.0</v>
      </c>
      <c r="D21" s="3"/>
      <c r="E21" s="4"/>
      <c r="F21" s="5"/>
    </row>
    <row r="22">
      <c r="A22" s="3"/>
      <c r="B22" s="12" t="s">
        <v>13</v>
      </c>
      <c r="C22" s="7">
        <v>0.0</v>
      </c>
      <c r="D22" s="3"/>
      <c r="E22" s="4"/>
      <c r="F22" s="5"/>
    </row>
    <row r="23">
      <c r="A23" s="3"/>
      <c r="D23" s="3"/>
      <c r="E23" s="4"/>
      <c r="F23" s="5"/>
    </row>
    <row r="24">
      <c r="A24" s="3"/>
      <c r="B24" s="9"/>
      <c r="C24" s="3"/>
      <c r="D24" s="3"/>
      <c r="E24" s="4"/>
      <c r="F24" s="5"/>
    </row>
    <row r="25">
      <c r="A25" s="3"/>
      <c r="B25" s="9"/>
      <c r="C25" s="3"/>
      <c r="D25" s="3"/>
      <c r="E25" s="4"/>
      <c r="F25" s="5"/>
    </row>
    <row r="26">
      <c r="A26" s="13" t="s">
        <v>14</v>
      </c>
      <c r="B26" s="13"/>
      <c r="C26" s="13"/>
    </row>
  </sheetData>
  <mergeCells count="4">
    <mergeCell ref="A1:F1"/>
    <mergeCell ref="B5:C5"/>
    <mergeCell ref="B15:C15"/>
    <mergeCell ref="C26:F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6.38"/>
    <col customWidth="1" min="3" max="3" width="9.13"/>
    <col customWidth="1" min="4" max="4" width="13.75"/>
    <col customWidth="1" min="5" max="5" width="58.25"/>
    <col customWidth="1" min="6" max="6" width="30.13"/>
    <col customWidth="1" min="7" max="7" width="20.75"/>
  </cols>
  <sheetData>
    <row r="1">
      <c r="A1" s="1" t="s">
        <v>15</v>
      </c>
    </row>
    <row r="2">
      <c r="A2" s="14" t="s">
        <v>16</v>
      </c>
    </row>
    <row r="3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</row>
    <row r="4">
      <c r="A4" s="16">
        <v>1.0</v>
      </c>
      <c r="B4" s="17" t="s">
        <v>24</v>
      </c>
      <c r="C4" s="17">
        <v>1.0</v>
      </c>
      <c r="D4" s="16" t="s">
        <v>4</v>
      </c>
      <c r="E4" s="18" t="s">
        <v>25</v>
      </c>
      <c r="F4" s="18" t="s">
        <v>26</v>
      </c>
      <c r="G4" s="19" t="s">
        <v>7</v>
      </c>
    </row>
    <row r="5">
      <c r="A5" s="16">
        <v>2.0</v>
      </c>
      <c r="B5" s="17" t="s">
        <v>27</v>
      </c>
      <c r="C5" s="17">
        <v>6.0</v>
      </c>
      <c r="D5" s="16" t="s">
        <v>2</v>
      </c>
      <c r="E5" s="18" t="s">
        <v>28</v>
      </c>
      <c r="F5" s="18" t="s">
        <v>29</v>
      </c>
      <c r="G5" s="19" t="s">
        <v>8</v>
      </c>
    </row>
    <row r="6">
      <c r="A6" s="16">
        <v>3.0</v>
      </c>
      <c r="B6" s="17" t="s">
        <v>27</v>
      </c>
      <c r="C6" s="17">
        <v>2.0</v>
      </c>
      <c r="D6" s="16" t="s">
        <v>2</v>
      </c>
      <c r="E6" s="18" t="s">
        <v>30</v>
      </c>
      <c r="F6" s="18" t="s">
        <v>29</v>
      </c>
      <c r="G6" s="19" t="s">
        <v>8</v>
      </c>
    </row>
    <row r="7">
      <c r="A7" s="16">
        <v>4.0</v>
      </c>
      <c r="B7" s="17" t="s">
        <v>27</v>
      </c>
      <c r="C7" s="17">
        <v>2.0</v>
      </c>
      <c r="D7" s="16" t="s">
        <v>2</v>
      </c>
      <c r="E7" s="20" t="s">
        <v>31</v>
      </c>
      <c r="F7" s="18"/>
      <c r="G7" s="19" t="s">
        <v>13</v>
      </c>
    </row>
    <row r="8" ht="16.5" customHeight="1">
      <c r="A8" s="16">
        <v>5.0</v>
      </c>
      <c r="B8" s="21" t="s">
        <v>32</v>
      </c>
      <c r="C8" s="17">
        <v>1.0</v>
      </c>
      <c r="D8" s="16" t="s">
        <v>4</v>
      </c>
      <c r="E8" s="22" t="s">
        <v>33</v>
      </c>
      <c r="F8" s="22"/>
      <c r="G8" s="19" t="s">
        <v>7</v>
      </c>
    </row>
    <row r="9">
      <c r="A9" s="16">
        <v>6.0</v>
      </c>
      <c r="B9" s="21" t="s">
        <v>34</v>
      </c>
      <c r="C9" s="16">
        <v>1.0</v>
      </c>
      <c r="D9" s="16" t="s">
        <v>4</v>
      </c>
      <c r="E9" s="20" t="s">
        <v>35</v>
      </c>
      <c r="F9" s="18"/>
      <c r="G9" s="19" t="s">
        <v>7</v>
      </c>
    </row>
    <row r="10">
      <c r="A10" s="23">
        <v>7.0</v>
      </c>
      <c r="B10" s="12"/>
      <c r="C10" s="23"/>
      <c r="D10" s="23"/>
      <c r="E10" s="24"/>
      <c r="F10" s="24"/>
      <c r="G10" s="25"/>
    </row>
    <row r="11">
      <c r="A11" s="23">
        <v>8.0</v>
      </c>
      <c r="B11" s="12"/>
      <c r="C11" s="23"/>
      <c r="D11" s="23"/>
      <c r="E11" s="26"/>
      <c r="F11" s="26"/>
      <c r="G11" s="25"/>
    </row>
    <row r="12">
      <c r="A12" s="23">
        <v>9.0</v>
      </c>
      <c r="B12" s="12"/>
      <c r="C12" s="23"/>
      <c r="D12" s="23"/>
      <c r="E12" s="26"/>
      <c r="F12" s="26"/>
      <c r="G12" s="25"/>
    </row>
    <row r="13">
      <c r="A13" s="23">
        <v>10.0</v>
      </c>
      <c r="B13" s="12"/>
      <c r="C13" s="23"/>
      <c r="D13" s="23"/>
      <c r="E13" s="27"/>
      <c r="F13" s="27"/>
      <c r="G13" s="25"/>
    </row>
    <row r="14">
      <c r="A14" s="23">
        <v>11.0</v>
      </c>
      <c r="B14" s="12"/>
      <c r="C14" s="23"/>
      <c r="D14" s="23"/>
      <c r="E14" s="27"/>
      <c r="F14" s="27"/>
      <c r="G14" s="25"/>
    </row>
    <row r="15">
      <c r="A15" s="23">
        <v>12.0</v>
      </c>
      <c r="B15" s="12"/>
      <c r="C15" s="23"/>
      <c r="D15" s="23"/>
      <c r="E15" s="27"/>
      <c r="F15" s="27"/>
      <c r="G15" s="25"/>
    </row>
    <row r="16">
      <c r="A16" s="23">
        <v>13.0</v>
      </c>
      <c r="B16" s="12"/>
      <c r="C16" s="23"/>
      <c r="D16" s="23"/>
      <c r="E16" s="27"/>
      <c r="F16" s="27"/>
      <c r="G16" s="25"/>
    </row>
    <row r="17">
      <c r="A17" s="23">
        <v>14.0</v>
      </c>
      <c r="B17" s="12"/>
      <c r="C17" s="23"/>
      <c r="D17" s="23"/>
      <c r="E17" s="24"/>
      <c r="F17" s="24"/>
      <c r="G17" s="25"/>
    </row>
    <row r="18">
      <c r="A18" s="23">
        <v>15.0</v>
      </c>
      <c r="B18" s="12"/>
      <c r="C18" s="23"/>
      <c r="D18" s="23"/>
      <c r="E18" s="24"/>
      <c r="F18" s="24"/>
      <c r="G18" s="25"/>
    </row>
    <row r="19">
      <c r="A19" s="23">
        <v>16.0</v>
      </c>
      <c r="B19" s="12"/>
      <c r="C19" s="23"/>
      <c r="D19" s="23"/>
      <c r="E19" s="24"/>
      <c r="F19" s="24"/>
      <c r="G19" s="25"/>
    </row>
    <row r="20">
      <c r="A20" s="23">
        <v>17.0</v>
      </c>
      <c r="B20" s="12"/>
      <c r="C20" s="23"/>
      <c r="D20" s="23"/>
      <c r="E20" s="24"/>
      <c r="F20" s="24"/>
      <c r="G20" s="25"/>
    </row>
    <row r="21">
      <c r="A21" s="23">
        <v>18.0</v>
      </c>
      <c r="B21" s="12"/>
      <c r="C21" s="23"/>
      <c r="D21" s="23"/>
      <c r="E21" s="24"/>
      <c r="F21" s="24"/>
      <c r="G21" s="25"/>
    </row>
    <row r="22">
      <c r="A22" s="23">
        <v>19.0</v>
      </c>
      <c r="B22" s="12"/>
      <c r="C22" s="23"/>
      <c r="D22" s="23"/>
      <c r="E22" s="24"/>
      <c r="F22" s="24"/>
      <c r="G22" s="25"/>
    </row>
    <row r="23">
      <c r="A23" s="23">
        <v>20.0</v>
      </c>
      <c r="B23" s="12"/>
      <c r="C23" s="23"/>
      <c r="D23" s="23"/>
      <c r="E23" s="24"/>
      <c r="F23" s="24"/>
      <c r="G23" s="25"/>
    </row>
    <row r="24">
      <c r="A24" s="23">
        <v>21.0</v>
      </c>
      <c r="B24" s="12"/>
      <c r="C24" s="23"/>
      <c r="D24" s="23"/>
      <c r="E24" s="24"/>
      <c r="F24" s="24"/>
      <c r="G24" s="25"/>
    </row>
    <row r="25">
      <c r="A25" s="23">
        <v>22.0</v>
      </c>
      <c r="B25" s="12"/>
      <c r="C25" s="23"/>
      <c r="D25" s="23"/>
      <c r="E25" s="24"/>
      <c r="F25" s="24"/>
      <c r="G25" s="25"/>
    </row>
    <row r="26">
      <c r="A26" s="13" t="s">
        <v>14</v>
      </c>
      <c r="B26" s="13"/>
      <c r="C26" s="13" t="s">
        <v>36</v>
      </c>
    </row>
  </sheetData>
  <mergeCells count="3">
    <mergeCell ref="A1:G1"/>
    <mergeCell ref="A2:G2"/>
    <mergeCell ref="C26:G26"/>
  </mergeCells>
  <dataValidations>
    <dataValidation type="list" allowBlank="1" showErrorMessage="1" sqref="D4:D25">
      <formula1>"Baixo,Médio,Alto,Crítico"</formula1>
    </dataValidation>
    <dataValidation type="list" allowBlank="1" showErrorMessage="1" sqref="G4:G25">
      <formula1>"Aberto,Dev,Reteste,Corrigido,Impedimento,Fora de Escopo,Duplicado"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3.0"/>
    <col customWidth="1" min="3" max="3" width="9.13"/>
    <col customWidth="1" min="4" max="4" width="43.38"/>
    <col customWidth="1" min="5" max="5" width="40.25"/>
    <col customWidth="1" min="6" max="6" width="10.25"/>
  </cols>
  <sheetData>
    <row r="1">
      <c r="A1" s="1" t="s">
        <v>37</v>
      </c>
    </row>
    <row r="2">
      <c r="A2" s="28" t="s">
        <v>38</v>
      </c>
    </row>
    <row r="3">
      <c r="A3" s="29" t="s">
        <v>39</v>
      </c>
    </row>
    <row r="4">
      <c r="A4" s="29" t="s">
        <v>40</v>
      </c>
    </row>
    <row r="5">
      <c r="A5" s="15" t="s">
        <v>41</v>
      </c>
      <c r="B5" s="15" t="s">
        <v>42</v>
      </c>
      <c r="C5" s="30" t="s">
        <v>43</v>
      </c>
      <c r="D5" s="30" t="s">
        <v>44</v>
      </c>
      <c r="E5" s="15" t="s">
        <v>45</v>
      </c>
      <c r="F5" s="15" t="s">
        <v>46</v>
      </c>
    </row>
    <row r="6">
      <c r="A6" s="31" t="s">
        <v>47</v>
      </c>
      <c r="B6" s="32" t="s">
        <v>48</v>
      </c>
      <c r="C6" s="23">
        <v>1.0</v>
      </c>
      <c r="D6" s="24" t="s">
        <v>49</v>
      </c>
      <c r="E6" s="24" t="s">
        <v>50</v>
      </c>
      <c r="F6" s="25" t="b">
        <v>0</v>
      </c>
    </row>
    <row r="7">
      <c r="A7" s="33"/>
      <c r="B7" s="33"/>
      <c r="C7" s="23">
        <v>2.0</v>
      </c>
      <c r="D7" s="24" t="s">
        <v>51</v>
      </c>
      <c r="E7" s="24" t="s">
        <v>52</v>
      </c>
      <c r="F7" s="25" t="b">
        <v>0</v>
      </c>
    </row>
    <row r="8">
      <c r="A8" s="33"/>
      <c r="B8" s="33"/>
      <c r="C8" s="23">
        <v>3.0</v>
      </c>
      <c r="D8" s="24" t="s">
        <v>53</v>
      </c>
      <c r="E8" s="24" t="s">
        <v>52</v>
      </c>
      <c r="F8" s="25" t="b">
        <v>1</v>
      </c>
    </row>
    <row r="9">
      <c r="A9" s="33"/>
      <c r="B9" s="34"/>
      <c r="C9" s="23">
        <v>4.0</v>
      </c>
      <c r="D9" s="24"/>
      <c r="E9" s="24"/>
      <c r="F9" s="25" t="b">
        <v>0</v>
      </c>
    </row>
    <row r="10">
      <c r="A10" s="33"/>
      <c r="B10" s="32" t="s">
        <v>54</v>
      </c>
      <c r="C10" s="23">
        <v>5.0</v>
      </c>
      <c r="D10" s="24"/>
      <c r="E10" s="24"/>
      <c r="F10" s="25" t="b">
        <v>0</v>
      </c>
    </row>
    <row r="11">
      <c r="A11" s="33"/>
      <c r="B11" s="33"/>
      <c r="C11" s="23">
        <v>6.0</v>
      </c>
      <c r="D11" s="24"/>
      <c r="E11" s="24"/>
      <c r="F11" s="25" t="b">
        <v>0</v>
      </c>
    </row>
    <row r="12">
      <c r="A12" s="33"/>
      <c r="B12" s="33"/>
      <c r="C12" s="23">
        <v>7.0</v>
      </c>
      <c r="D12" s="24"/>
      <c r="E12" s="24"/>
      <c r="F12" s="25" t="b">
        <v>0</v>
      </c>
    </row>
    <row r="13">
      <c r="A13" s="33"/>
      <c r="B13" s="34"/>
      <c r="C13" s="23">
        <v>8.0</v>
      </c>
      <c r="D13" s="24"/>
      <c r="E13" s="24"/>
      <c r="F13" s="25" t="b">
        <v>0</v>
      </c>
    </row>
    <row r="14">
      <c r="A14" s="13" t="s">
        <v>14</v>
      </c>
      <c r="B14" s="13"/>
      <c r="C14" s="13" t="s">
        <v>36</v>
      </c>
    </row>
  </sheetData>
  <mergeCells count="8">
    <mergeCell ref="A1:F1"/>
    <mergeCell ref="A2:F2"/>
    <mergeCell ref="A3:F3"/>
    <mergeCell ref="A4:F4"/>
    <mergeCell ref="A6:A13"/>
    <mergeCell ref="B6:B9"/>
    <mergeCell ref="B10:B13"/>
    <mergeCell ref="C14:F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